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bzemljaric_fe1_uni-lj_si/Documents/VAJE/DelovniZvezki/KVEE/Vaja 5_medBazeni/"/>
    </mc:Choice>
  </mc:AlternateContent>
  <xr:revisionPtr revIDLastSave="43" documentId="8_{E160CAA6-9166-4E09-87AD-9331B03EF640}" xr6:coauthVersionLast="47" xr6:coauthVersionMax="47" xr10:uidLastSave="{3DFAFA81-7C98-4D1A-ACDC-84C5E906D72E}"/>
  <bookViews>
    <workbookView xWindow="-120" yWindow="-120" windowWidth="29040" windowHeight="15720" xr2:uid="{00000000-000D-0000-FFFF-FFFF00000000}"/>
  </bookViews>
  <sheets>
    <sheet name="problem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3" i="1"/>
  <c r="B17" i="1" l="1"/>
  <c r="B18" i="1" s="1"/>
</calcChain>
</file>

<file path=xl/sharedStrings.xml><?xml version="1.0" encoding="utf-8"?>
<sst xmlns="http://schemas.openxmlformats.org/spreadsheetml/2006/main" count="62" uniqueCount="55">
  <si>
    <t>pretok Q</t>
  </si>
  <si>
    <t>m3/s</t>
  </si>
  <si>
    <t>m</t>
  </si>
  <si>
    <t>olje</t>
  </si>
  <si>
    <t>voda</t>
  </si>
  <si>
    <t>m2</t>
  </si>
  <si>
    <t>m/s</t>
  </si>
  <si>
    <t>premer D</t>
  </si>
  <si>
    <t>površina A</t>
  </si>
  <si>
    <t>hitrost v</t>
  </si>
  <si>
    <t>Pa.s</t>
  </si>
  <si>
    <t>kg/m3</t>
  </si>
  <si>
    <t>spec. gostota-mi</t>
  </si>
  <si>
    <t>A=D*D*pi/4</t>
  </si>
  <si>
    <t>v=Q/A</t>
  </si>
  <si>
    <t>Re=v D ro/ mi</t>
  </si>
  <si>
    <t>geometrija</t>
  </si>
  <si>
    <t>dolžina</t>
  </si>
  <si>
    <t>h=400*SIN(RADIANS(45))+400*SIN(RADIANS(30))</t>
  </si>
  <si>
    <t xml:space="preserve">voda </t>
  </si>
  <si>
    <t>delna višina</t>
  </si>
  <si>
    <t>preostanek cevi</t>
  </si>
  <si>
    <t xml:space="preserve">dolžina cevi </t>
  </si>
  <si>
    <t>h=250*SIN(RADIANS(30))</t>
  </si>
  <si>
    <t>ld=482.8-125</t>
  </si>
  <si>
    <t>dolzina 1</t>
  </si>
  <si>
    <t>l=250+357</t>
  </si>
  <si>
    <t>h=32*mi*L*v/(g*D*D*ro)</t>
  </si>
  <si>
    <t>člen bernoullijeva enačbe</t>
  </si>
  <si>
    <t>pa/(ro*g)=Eč=hc-ha+hi</t>
  </si>
  <si>
    <t>izgube hi</t>
  </si>
  <si>
    <t>moč črpalke</t>
  </si>
  <si>
    <t>W</t>
  </si>
  <si>
    <t>P=ro*g*Eč*Q/eta</t>
  </si>
  <si>
    <t>Pč=</t>
  </si>
  <si>
    <t>area A</t>
  </si>
  <si>
    <t>velocity v</t>
  </si>
  <si>
    <t>Reynolds Re</t>
  </si>
  <si>
    <t>losses hi</t>
  </si>
  <si>
    <t>Bernoulli</t>
  </si>
  <si>
    <t>pump power</t>
  </si>
  <si>
    <t>volumetric flow</t>
  </si>
  <si>
    <t>diameter D</t>
  </si>
  <si>
    <t>dinamična viskoznost- rp</t>
  </si>
  <si>
    <t>dynamic viscosity</t>
  </si>
  <si>
    <t>spec. Density</t>
  </si>
  <si>
    <t>efficency</t>
  </si>
  <si>
    <t>izkoristek - eta</t>
  </si>
  <si>
    <t>višina konca- hc</t>
  </si>
  <si>
    <t>pipe end height hc</t>
  </si>
  <si>
    <t>pipe length</t>
  </si>
  <si>
    <t>partila pipe length</t>
  </si>
  <si>
    <t>partial height</t>
  </si>
  <si>
    <t>višina točka A -ha=0</t>
  </si>
  <si>
    <t>height A-ha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</si>
</sst>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26" sqref="K26"/>
    </sheetView>
  </sheetViews>
  <sheetFormatPr defaultRowHeight="15" x14ac:dyDescent="0.25"/>
  <cols>
    <col min="1" max="1" width="13.85546875" customWidth="1"/>
  </cols>
  <sheetData>
    <row r="1" spans="1:8" x14ac:dyDescent="0.25">
      <c r="B1" t="s">
        <v>3</v>
      </c>
      <c r="C1" t="s">
        <v>4</v>
      </c>
    </row>
    <row r="2" spans="1:8" x14ac:dyDescent="0.25">
      <c r="A2" t="s">
        <v>0</v>
      </c>
      <c r="B2" s="5"/>
      <c r="C2" s="5"/>
      <c r="D2" t="s">
        <v>1</v>
      </c>
      <c r="H2" s="3" t="s">
        <v>41</v>
      </c>
    </row>
    <row r="3" spans="1:8" x14ac:dyDescent="0.25">
      <c r="A3" t="s">
        <v>7</v>
      </c>
      <c r="B3" s="5"/>
      <c r="C3" s="5"/>
      <c r="D3" t="s">
        <v>2</v>
      </c>
      <c r="H3" s="3" t="s">
        <v>42</v>
      </c>
    </row>
    <row r="4" spans="1:8" x14ac:dyDescent="0.25">
      <c r="A4" t="s">
        <v>43</v>
      </c>
      <c r="B4" s="5"/>
      <c r="C4" s="5"/>
      <c r="D4" t="s">
        <v>10</v>
      </c>
      <c r="H4" s="3" t="s">
        <v>44</v>
      </c>
    </row>
    <row r="5" spans="1:8" x14ac:dyDescent="0.25">
      <c r="A5" s="1" t="s">
        <v>12</v>
      </c>
      <c r="B5" s="6"/>
      <c r="C5" s="6"/>
      <c r="D5" s="1" t="s">
        <v>11</v>
      </c>
      <c r="E5" s="1"/>
      <c r="H5" s="3" t="s">
        <v>45</v>
      </c>
    </row>
    <row r="6" spans="1:8" x14ac:dyDescent="0.25">
      <c r="A6" s="2" t="s">
        <v>47</v>
      </c>
      <c r="B6" s="7"/>
      <c r="C6" s="7"/>
      <c r="D6" s="2"/>
      <c r="E6" s="2"/>
      <c r="H6" s="3" t="s">
        <v>46</v>
      </c>
    </row>
    <row r="7" spans="1:8" x14ac:dyDescent="0.25">
      <c r="A7" s="9" t="s">
        <v>53</v>
      </c>
      <c r="B7" s="9"/>
      <c r="C7" s="9"/>
      <c r="D7" s="8"/>
      <c r="E7" s="8"/>
      <c r="H7" s="3" t="s">
        <v>54</v>
      </c>
    </row>
    <row r="8" spans="1:8" x14ac:dyDescent="0.25">
      <c r="H8" s="3"/>
    </row>
    <row r="9" spans="1:8" x14ac:dyDescent="0.25">
      <c r="A9" s="1" t="s">
        <v>16</v>
      </c>
      <c r="B9" s="1"/>
      <c r="C9" s="1"/>
      <c r="D9" s="1"/>
      <c r="E9" s="1"/>
      <c r="F9" s="1"/>
      <c r="G9" s="1"/>
      <c r="H9" s="3"/>
    </row>
    <row r="10" spans="1:8" x14ac:dyDescent="0.25">
      <c r="A10" s="4" t="s">
        <v>3</v>
      </c>
      <c r="H10" s="3"/>
    </row>
    <row r="11" spans="1:8" x14ac:dyDescent="0.25">
      <c r="A11" t="s">
        <v>17</v>
      </c>
      <c r="B11">
        <v>800</v>
      </c>
      <c r="D11" t="s">
        <v>2</v>
      </c>
      <c r="H11" s="3" t="s">
        <v>50</v>
      </c>
    </row>
    <row r="12" spans="1:8" x14ac:dyDescent="0.25">
      <c r="A12" t="s">
        <v>48</v>
      </c>
      <c r="H12" s="3" t="s">
        <v>49</v>
      </c>
    </row>
    <row r="13" spans="1:8" x14ac:dyDescent="0.25">
      <c r="B13">
        <f>400*SIN(RADIANS(45))+400*SIN(RADIANS(30))</f>
        <v>482.84271247461891</v>
      </c>
      <c r="D13" t="s">
        <v>18</v>
      </c>
      <c r="H13" s="3"/>
    </row>
    <row r="14" spans="1:8" x14ac:dyDescent="0.25">
      <c r="A14" s="4" t="s">
        <v>19</v>
      </c>
      <c r="H14" s="3"/>
    </row>
    <row r="15" spans="1:8" x14ac:dyDescent="0.25">
      <c r="A15" t="s">
        <v>25</v>
      </c>
      <c r="B15">
        <v>250</v>
      </c>
      <c r="H15" s="3" t="s">
        <v>51</v>
      </c>
    </row>
    <row r="16" spans="1:8" x14ac:dyDescent="0.25">
      <c r="A16" t="s">
        <v>20</v>
      </c>
      <c r="B16">
        <f>B15*SIN(RADIANS(30))</f>
        <v>124.99999999999999</v>
      </c>
      <c r="D16" t="s">
        <v>2</v>
      </c>
      <c r="E16" t="s">
        <v>23</v>
      </c>
      <c r="H16" s="3" t="s">
        <v>52</v>
      </c>
    </row>
    <row r="17" spans="1:8" x14ac:dyDescent="0.25">
      <c r="A17" t="s">
        <v>21</v>
      </c>
      <c r="B17">
        <f>B13-B16</f>
        <v>357.84271247461891</v>
      </c>
      <c r="D17" t="s">
        <v>2</v>
      </c>
      <c r="E17" t="s">
        <v>24</v>
      </c>
      <c r="H17" s="3"/>
    </row>
    <row r="18" spans="1:8" x14ac:dyDescent="0.25">
      <c r="A18" s="1" t="s">
        <v>22</v>
      </c>
      <c r="B18" s="1">
        <f>B15+B17</f>
        <v>607.84271247461891</v>
      </c>
      <c r="C18" s="1"/>
      <c r="D18" s="1" t="s">
        <v>2</v>
      </c>
      <c r="E18" s="1" t="s">
        <v>26</v>
      </c>
      <c r="F18" s="1"/>
      <c r="G18" s="1"/>
      <c r="H18" s="3"/>
    </row>
    <row r="19" spans="1:8" x14ac:dyDescent="0.25">
      <c r="H19" s="3"/>
    </row>
    <row r="20" spans="1:8" x14ac:dyDescent="0.25">
      <c r="A20" t="s">
        <v>8</v>
      </c>
      <c r="B20" s="5"/>
      <c r="C20" s="5"/>
      <c r="D20" t="s">
        <v>5</v>
      </c>
      <c r="E20" t="s">
        <v>13</v>
      </c>
      <c r="H20" s="3" t="s">
        <v>35</v>
      </c>
    </row>
    <row r="21" spans="1:8" x14ac:dyDescent="0.25">
      <c r="H21" s="3"/>
    </row>
    <row r="22" spans="1:8" x14ac:dyDescent="0.25">
      <c r="A22" t="s">
        <v>9</v>
      </c>
      <c r="B22" s="5"/>
      <c r="C22" s="5"/>
      <c r="D22" t="s">
        <v>6</v>
      </c>
      <c r="E22" t="s">
        <v>14</v>
      </c>
      <c r="H22" s="3" t="s">
        <v>36</v>
      </c>
    </row>
    <row r="23" spans="1:8" x14ac:dyDescent="0.25">
      <c r="H23" s="3"/>
    </row>
    <row r="24" spans="1:8" x14ac:dyDescent="0.25">
      <c r="A24" t="s">
        <v>37</v>
      </c>
      <c r="B24" s="5"/>
      <c r="C24" s="5"/>
      <c r="E24" t="s">
        <v>15</v>
      </c>
      <c r="H24" s="3" t="s">
        <v>37</v>
      </c>
    </row>
    <row r="25" spans="1:8" x14ac:dyDescent="0.25">
      <c r="H25" s="3"/>
    </row>
    <row r="26" spans="1:8" x14ac:dyDescent="0.25">
      <c r="A26" t="s">
        <v>30</v>
      </c>
      <c r="B26" s="5"/>
      <c r="C26" s="5"/>
      <c r="D26" t="s">
        <v>2</v>
      </c>
      <c r="E26" t="s">
        <v>27</v>
      </c>
      <c r="H26" s="3" t="s">
        <v>38</v>
      </c>
    </row>
    <row r="27" spans="1:8" x14ac:dyDescent="0.25">
      <c r="H27" s="3"/>
    </row>
    <row r="28" spans="1:8" x14ac:dyDescent="0.25">
      <c r="A28" t="s">
        <v>28</v>
      </c>
      <c r="E28" t="s">
        <v>29</v>
      </c>
      <c r="H28" s="3" t="s">
        <v>39</v>
      </c>
    </row>
    <row r="29" spans="1:8" x14ac:dyDescent="0.25">
      <c r="B29" s="5"/>
      <c r="C29" s="5"/>
      <c r="H29" s="3"/>
    </row>
    <row r="30" spans="1:8" x14ac:dyDescent="0.25">
      <c r="A30" t="s">
        <v>31</v>
      </c>
      <c r="H30" s="3" t="s">
        <v>40</v>
      </c>
    </row>
    <row r="31" spans="1:8" x14ac:dyDescent="0.25">
      <c r="A31" t="s">
        <v>34</v>
      </c>
      <c r="B31" s="5"/>
      <c r="C31" s="5"/>
      <c r="D31" t="s">
        <v>32</v>
      </c>
      <c r="E31" t="s">
        <v>33</v>
      </c>
      <c r="H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Borut_Z</dc:creator>
  <cp:lastModifiedBy>Zemljarič, Borut</cp:lastModifiedBy>
  <dcterms:created xsi:type="dcterms:W3CDTF">2015-06-05T18:17:20Z</dcterms:created>
  <dcterms:modified xsi:type="dcterms:W3CDTF">2025-10-30T08:43:53Z</dcterms:modified>
</cp:coreProperties>
</file>